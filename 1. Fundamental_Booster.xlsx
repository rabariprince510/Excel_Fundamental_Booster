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CKUP 15-07-2026\prince\Excel\"/>
    </mc:Choice>
  </mc:AlternateContent>
  <bookViews>
    <workbookView xWindow="0" yWindow="0" windowWidth="20490" windowHeight="7755"/>
  </bookViews>
  <sheets>
    <sheet name="Project Instructions" sheetId="1" r:id="rId1"/>
    <sheet name="Students Grade" sheetId="2" r:id="rId2"/>
    <sheet name="Sales Data" sheetId="3" r:id="rId3"/>
    <sheet name="Employee Data" sheetId="4" r:id="rId4"/>
  </sheets>
  <calcPr calcId="152511"/>
</workbook>
</file>

<file path=xl/calcChain.xml><?xml version="1.0" encoding="utf-8"?>
<calcChain xmlns="http://schemas.openxmlformats.org/spreadsheetml/2006/main">
  <c r="C27" i="4" l="1"/>
  <c r="B27" i="4"/>
  <c r="J21" i="4"/>
  <c r="I21" i="4"/>
  <c r="H21" i="4"/>
  <c r="G21" i="4"/>
  <c r="F21" i="4"/>
  <c r="J20" i="4"/>
  <c r="I20" i="4"/>
  <c r="H20" i="4"/>
  <c r="G20" i="4"/>
  <c r="F20" i="4"/>
  <c r="J19" i="4"/>
  <c r="I19" i="4"/>
  <c r="H19" i="4"/>
  <c r="G19" i="4"/>
  <c r="F19" i="4"/>
  <c r="J18" i="4"/>
  <c r="I18" i="4"/>
  <c r="H18" i="4"/>
  <c r="G18" i="4"/>
  <c r="F18" i="4"/>
  <c r="J17" i="4"/>
  <c r="I17" i="4"/>
  <c r="H17" i="4"/>
  <c r="G17" i="4"/>
  <c r="F17" i="4"/>
  <c r="J16" i="4"/>
  <c r="I16" i="4"/>
  <c r="H16" i="4"/>
  <c r="G16" i="4"/>
  <c r="F16" i="4"/>
  <c r="J15" i="4"/>
  <c r="I15" i="4"/>
  <c r="H15" i="4"/>
  <c r="G15" i="4"/>
  <c r="F15" i="4"/>
  <c r="J14" i="4"/>
  <c r="I14" i="4"/>
  <c r="H14" i="4"/>
  <c r="G14" i="4"/>
  <c r="F14" i="4"/>
  <c r="J13" i="4"/>
  <c r="I13" i="4"/>
  <c r="H13" i="4"/>
  <c r="G13" i="4"/>
  <c r="F13" i="4"/>
  <c r="J12" i="4"/>
  <c r="I12" i="4"/>
  <c r="H12" i="4"/>
  <c r="G12" i="4"/>
  <c r="F12" i="4"/>
  <c r="J11" i="4"/>
  <c r="I11" i="4"/>
  <c r="H11" i="4"/>
  <c r="G11" i="4"/>
  <c r="F11" i="4"/>
  <c r="J10" i="4"/>
  <c r="I10" i="4"/>
  <c r="H10" i="4"/>
  <c r="G10" i="4"/>
  <c r="F10" i="4"/>
  <c r="J9" i="4"/>
  <c r="I9" i="4"/>
  <c r="H9" i="4"/>
  <c r="G9" i="4"/>
  <c r="F9" i="4"/>
  <c r="J8" i="4"/>
  <c r="I8" i="4"/>
  <c r="H8" i="4"/>
  <c r="G8" i="4"/>
  <c r="F8" i="4"/>
  <c r="J7" i="4"/>
  <c r="I7" i="4"/>
  <c r="H7" i="4"/>
  <c r="G7" i="4"/>
  <c r="F7" i="4"/>
  <c r="J6" i="4"/>
  <c r="I6" i="4"/>
  <c r="H6" i="4"/>
  <c r="G6" i="4"/>
  <c r="F6" i="4"/>
  <c r="J5" i="4"/>
  <c r="I5" i="4"/>
  <c r="H5" i="4"/>
  <c r="G5" i="4"/>
  <c r="F5" i="4"/>
  <c r="J4" i="4"/>
  <c r="I4" i="4"/>
  <c r="H4" i="4"/>
  <c r="G4" i="4"/>
  <c r="F4" i="4"/>
  <c r="J3" i="4"/>
  <c r="I3" i="4"/>
  <c r="H3" i="4"/>
  <c r="G3" i="4"/>
  <c r="F3" i="4"/>
  <c r="J2" i="4"/>
  <c r="I2" i="4"/>
  <c r="H2" i="4"/>
  <c r="G2" i="4"/>
  <c r="F2" i="4"/>
  <c r="C32" i="3"/>
  <c r="B32" i="3"/>
  <c r="C29" i="3"/>
  <c r="B29" i="3"/>
  <c r="C27" i="3"/>
  <c r="B27" i="3"/>
  <c r="C26" i="3"/>
  <c r="B26" i="3"/>
  <c r="H21" i="3"/>
  <c r="I21" i="3" s="1"/>
  <c r="G21" i="3"/>
  <c r="H20" i="3"/>
  <c r="I20" i="3" s="1"/>
  <c r="G20" i="3"/>
  <c r="I19" i="3"/>
  <c r="H19" i="3"/>
  <c r="G19" i="3"/>
  <c r="I18" i="3"/>
  <c r="H18" i="3"/>
  <c r="G18" i="3"/>
  <c r="H17" i="3"/>
  <c r="I17" i="3" s="1"/>
  <c r="G17" i="3"/>
  <c r="I16" i="3"/>
  <c r="H16" i="3"/>
  <c r="G16" i="3"/>
  <c r="H15" i="3"/>
  <c r="I15" i="3" s="1"/>
  <c r="G15" i="3"/>
  <c r="I14" i="3"/>
  <c r="H14" i="3"/>
  <c r="G14" i="3"/>
  <c r="H13" i="3"/>
  <c r="I13" i="3" s="1"/>
  <c r="G13" i="3"/>
  <c r="I12" i="3"/>
  <c r="H12" i="3"/>
  <c r="G12" i="3"/>
  <c r="H11" i="3"/>
  <c r="I11" i="3" s="1"/>
  <c r="G11" i="3"/>
  <c r="I10" i="3"/>
  <c r="H10" i="3"/>
  <c r="G10" i="3"/>
  <c r="H9" i="3"/>
  <c r="I9" i="3" s="1"/>
  <c r="G9" i="3"/>
  <c r="I8" i="3"/>
  <c r="H8" i="3"/>
  <c r="G8" i="3"/>
  <c r="H7" i="3"/>
  <c r="I7" i="3" s="1"/>
  <c r="G7" i="3"/>
  <c r="I6" i="3"/>
  <c r="H6" i="3"/>
  <c r="G6" i="3"/>
  <c r="H5" i="3"/>
  <c r="I5" i="3" s="1"/>
  <c r="G5" i="3"/>
  <c r="I4" i="3"/>
  <c r="H4" i="3"/>
  <c r="G4" i="3"/>
  <c r="H3" i="3"/>
  <c r="I3" i="3" s="1"/>
  <c r="G3" i="3"/>
  <c r="I2" i="3"/>
  <c r="H2" i="3"/>
  <c r="G2" i="3"/>
  <c r="C29" i="2"/>
  <c r="B29" i="2"/>
  <c r="C28" i="2"/>
  <c r="B28" i="2"/>
  <c r="C27" i="2"/>
  <c r="B27" i="2"/>
  <c r="C26" i="2"/>
  <c r="B26" i="2"/>
  <c r="L21" i="2"/>
  <c r="K21" i="2"/>
  <c r="J21" i="2"/>
  <c r="I21" i="2"/>
  <c r="H21" i="2"/>
  <c r="G21" i="2"/>
  <c r="L20" i="2"/>
  <c r="K20" i="2"/>
  <c r="J20" i="2"/>
  <c r="I20" i="2"/>
  <c r="H20" i="2"/>
  <c r="G20" i="2"/>
  <c r="L19" i="2"/>
  <c r="K19" i="2"/>
  <c r="J19" i="2"/>
  <c r="I19" i="2"/>
  <c r="H19" i="2"/>
  <c r="G19" i="2"/>
  <c r="L18" i="2"/>
  <c r="K18" i="2"/>
  <c r="J18" i="2"/>
  <c r="I18" i="2"/>
  <c r="H18" i="2"/>
  <c r="G18" i="2"/>
  <c r="L17" i="2"/>
  <c r="K17" i="2"/>
  <c r="J17" i="2"/>
  <c r="I17" i="2"/>
  <c r="H17" i="2"/>
  <c r="G17" i="2"/>
  <c r="L16" i="2"/>
  <c r="K16" i="2"/>
  <c r="J16" i="2"/>
  <c r="I16" i="2"/>
  <c r="H16" i="2"/>
  <c r="G16" i="2"/>
  <c r="L15" i="2"/>
  <c r="K15" i="2"/>
  <c r="J15" i="2"/>
  <c r="I15" i="2"/>
  <c r="H15" i="2"/>
  <c r="G15" i="2"/>
  <c r="L14" i="2"/>
  <c r="K14" i="2"/>
  <c r="J14" i="2"/>
  <c r="I14" i="2"/>
  <c r="H14" i="2"/>
  <c r="G14" i="2"/>
  <c r="L13" i="2"/>
  <c r="K13" i="2"/>
  <c r="J13" i="2"/>
  <c r="I13" i="2"/>
  <c r="H13" i="2"/>
  <c r="G13" i="2"/>
  <c r="L12" i="2"/>
  <c r="K12" i="2"/>
  <c r="J12" i="2"/>
  <c r="I12" i="2"/>
  <c r="H12" i="2"/>
  <c r="G12" i="2"/>
  <c r="L11" i="2"/>
  <c r="K11" i="2"/>
  <c r="J11" i="2"/>
  <c r="I11" i="2"/>
  <c r="H11" i="2"/>
  <c r="G11" i="2"/>
  <c r="L10" i="2"/>
  <c r="K10" i="2"/>
  <c r="J10" i="2"/>
  <c r="I10" i="2"/>
  <c r="H10" i="2"/>
  <c r="G10" i="2"/>
  <c r="L9" i="2"/>
  <c r="K9" i="2"/>
  <c r="J9" i="2"/>
  <c r="I9" i="2"/>
  <c r="H9" i="2"/>
  <c r="G9" i="2"/>
  <c r="L8" i="2"/>
  <c r="K8" i="2"/>
  <c r="J8" i="2"/>
  <c r="I8" i="2"/>
  <c r="H8" i="2"/>
  <c r="G8" i="2"/>
  <c r="L7" i="2"/>
  <c r="K7" i="2"/>
  <c r="J7" i="2"/>
  <c r="I7" i="2"/>
  <c r="H7" i="2"/>
  <c r="G7" i="2"/>
  <c r="L6" i="2"/>
  <c r="K6" i="2"/>
  <c r="J6" i="2"/>
  <c r="I6" i="2"/>
  <c r="H6" i="2"/>
  <c r="G6" i="2"/>
  <c r="L5" i="2"/>
  <c r="K5" i="2"/>
  <c r="J5" i="2"/>
  <c r="I5" i="2"/>
  <c r="H5" i="2"/>
  <c r="G5" i="2"/>
  <c r="L4" i="2"/>
  <c r="K4" i="2"/>
  <c r="J4" i="2"/>
  <c r="I4" i="2"/>
  <c r="H4" i="2"/>
  <c r="G4" i="2"/>
  <c r="L3" i="2"/>
  <c r="K3" i="2"/>
  <c r="J3" i="2"/>
  <c r="I3" i="2"/>
  <c r="H3" i="2"/>
  <c r="G3" i="2"/>
  <c r="L2" i="2"/>
  <c r="K2" i="2"/>
  <c r="J2" i="2"/>
  <c r="I2" i="2"/>
  <c r="H2" i="2"/>
  <c r="G2" i="2"/>
  <c r="B26" i="4"/>
  <c r="B28" i="3"/>
  <c r="C30" i="3"/>
  <c r="C26" i="4"/>
  <c r="C28" i="3"/>
  <c r="B30" i="3"/>
  <c r="B31" i="3"/>
  <c r="C31" i="3"/>
</calcChain>
</file>

<file path=xl/sharedStrings.xml><?xml version="1.0" encoding="utf-8"?>
<sst xmlns="http://schemas.openxmlformats.org/spreadsheetml/2006/main" count="192" uniqueCount="138">
  <si>
    <t>PR. 1 Fundamental Booster - Solved Deliverable</t>
  </si>
  <si>
    <t>Topics Covered:</t>
  </si>
  <si>
    <t xml:space="preserve">  • Relative &amp; Absolute References, Formatting, Data Input</t>
  </si>
  <si>
    <t xml:space="preserve">  • IF Formulas, Nested IFs, IF with AND/OR</t>
  </si>
  <si>
    <t xml:space="preserve">  • COUNTIFS, SUMIFS, AVERAGEIFS</t>
  </si>
  <si>
    <t xml:space="preserve">  • Lookup Functions (VLOOKUP, XLOOKUP, XMATCH)</t>
  </si>
  <si>
    <t xml:space="preserve">  • INDEX/MATCH for dynamic searches</t>
  </si>
  <si>
    <t xml:space="preserve">  • TEXT Functions for string manipulations (LEFT, FIND, UPPER, LOWER)</t>
  </si>
  <si>
    <t xml:space="preserve">  • INDIRECT and OFFSET for dynamic references</t>
  </si>
  <si>
    <t xml:space="preserve">  • Date/Time (DATEDIF, TODAY, subtraction), Math Functions (ROUND, CEILING, FLOOR), FILTER function</t>
  </si>
  <si>
    <t>Completed Sheets Summary:</t>
  </si>
  <si>
    <t>1. Students Grade: Full student details, average scores, nested IF grades, IF+AND checks, text formulas, summary statistics, and dynamic FILTER range.</t>
  </si>
  <si>
    <t>2. Sales Data: Sales transactions, discount eligibility (IF+OR), discount amount calculations, regional totals (SUMIFS, AVERAGEIFS), XLOOKUP/INDEX+MATCH, and dynamic INDIRECT/OFFSET sums.</t>
  </si>
  <si>
    <t>3. Employee Data: Employee records, tenure calculation (DATEDIF), day count, rounded salary metrics (ROUND, CEILING, FLOOR), and dynamic employee lookups.</t>
  </si>
  <si>
    <t>Student ID</t>
  </si>
  <si>
    <t>Name</t>
  </si>
  <si>
    <t>Math</t>
  </si>
  <si>
    <t>Science</t>
  </si>
  <si>
    <t>English</t>
  </si>
  <si>
    <t>Enrollment Date</t>
  </si>
  <si>
    <t>Average Score</t>
  </si>
  <si>
    <t>Grade (Nested IF)</t>
  </si>
  <si>
    <t>Math &amp; Sci &gt; 80 (IF AND)</t>
  </si>
  <si>
    <t>First Name</t>
  </si>
  <si>
    <t>UPPER Name</t>
  </si>
  <si>
    <t>LOWER Name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</si>
  <si>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</si>
  <si>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</si>
  <si>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</si>
  <si>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</si>
  <si>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</si>
  <si>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</si>
  <si>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</si>
  <si>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</si>
  <si>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</si>
  <si>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</si>
  <si>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</si>
  <si>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</si>
  <si>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</si>
  <si>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</si>
  <si>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</si>
  <si>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</si>
  <si>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</si>
  <si>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</si>
  <si>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</si>
  <si>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</si>
  <si>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Grade Analytics &amp; Tasks Summary</t>
  </si>
  <si>
    <t>Task Description</t>
  </si>
  <si>
    <t>Formula Used</t>
  </si>
  <si>
    <t>Result / Output</t>
  </si>
  <si>
    <t>Count of students scoring &gt; 50 in Math (COUNTIF)</t>
  </si>
  <si>
    <t>Count of students scoring &gt; 60 in Math (COUNTIFS)</t>
  </si>
  <si>
    <t>Average Math score for students scoring &gt; 60 (AVERAGEIF)</t>
  </si>
  <si>
    <t>Fetch student name for ID 1008 (VLOOKUP)</t>
  </si>
  <si>
    <t>Top Performing Students (Avg &gt; 80 using FILTER)</t>
  </si>
  <si>
    <t>Sales ID</t>
  </si>
  <si>
    <t>Product</t>
  </si>
  <si>
    <t>Region</t>
  </si>
  <si>
    <t>Salesperson</t>
  </si>
  <si>
    <t>Amount</t>
  </si>
  <si>
    <t>Date</t>
  </si>
  <si>
    <t>Discount Eligible (IF OR)</t>
  </si>
  <si>
    <t>Discount Amount</t>
  </si>
  <si>
    <t>Final Amount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</si>
  <si>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</si>
  <si>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</si>
  <si>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</si>
  <si>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</si>
  <si>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</si>
  <si>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</si>
  <si>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</si>
  <si>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</si>
  <si>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</si>
  <si>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</si>
  <si>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</si>
  <si>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</si>
  <si>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</si>
  <si>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</si>
  <si>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</si>
  <si>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</si>
  <si>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</si>
  <si>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</si>
  <si>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</si>
  <si>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</si>
  <si>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</si>
  <si>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</si>
  <si>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</si>
  <si>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</si>
  <si>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</si>
  <si>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</si>
  <si>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</si>
  <si>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</si>
  <si>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</si>
  <si>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Sales Analysis &amp; Required Task Formulas</t>
  </si>
  <si>
    <t>Sum total sales for East region &amp; Keyboard (SUMIFS)</t>
  </si>
  <si>
    <t>Average sales for South region (AVERAGEIFS)</t>
  </si>
  <si>
    <t>Fetch sales performance for Person 12 (XLOOKUP)</t>
  </si>
  <si>
    <t>Fetch sales performance for Person 12 (INDEX &amp; MATCH)</t>
  </si>
  <si>
    <t>Position of 'Monitor' in sales list (XMATCH)</t>
  </si>
  <si>
    <t>Dynamic Total Sales using INDIRECT</t>
  </si>
  <si>
    <t>Dynamic Total Sales using OFFSET</t>
  </si>
  <si>
    <t>Employee ID</t>
  </si>
  <si>
    <t>Department</t>
  </si>
  <si>
    <t>Salary</t>
  </si>
  <si>
    <t>Joining Date</t>
  </si>
  <si>
    <t>Tenure (Years - DATEDIF)</t>
  </si>
  <si>
    <t>Days with Company</t>
  </si>
  <si>
    <t>Rounded Salary</t>
  </si>
  <si>
    <t>Ceiling Salary (100s)</t>
  </si>
  <si>
    <t>Floor Salary (100s)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</si>
  <si>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</si>
  <si>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</si>
  <si>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</si>
  <si>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</si>
  <si>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</si>
  <si>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</si>
  <si>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</si>
  <si>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</si>
  <si>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</si>
  <si>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</si>
  <si>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</si>
  <si>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</si>
  <si>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</si>
  <si>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</si>
  <si>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</si>
  <si>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</si>
  <si>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</si>
  <si>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</si>
  <si>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</si>
  <si>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</si>
  <si>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</si>
  <si>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</si>
  <si>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</si>
  <si>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</si>
  <si>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Tasks &amp; Dynamic Lookups</t>
  </si>
  <si>
    <t>Find salary of Employee ID 3005 (XLOOKUP)</t>
  </si>
  <si>
    <t>Look up details without column restriction for ID 3010 (INDEX &amp; MATCH)</t>
  </si>
  <si>
    <t>XLOOKUP(3005, A2:A21, D2:D21"Not Found")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</si>
</sst>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\$#,##0.00"/>
  </numFmts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/>
    <xf numFmtId="1" fontId="4" fillId="0" borderId="2" xfId="0" applyNumberFormat="1" applyFont="1" applyBorder="1" applyAlignment="1">
      <alignment horizontal="right"/>
    </xf>
    <xf numFmtId="164" fontId="4" fillId="0" borderId="2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3" borderId="0" xfId="0" applyFont="1" applyFill="1"/>
    <xf numFmtId="0" fontId="4" fillId="0" borderId="2" xfId="0" applyFont="1" applyBorder="1" applyAlignment="1">
      <alignment horizontal="left"/>
    </xf>
    <xf numFmtId="165" fontId="4" fillId="0" borderId="2" xfId="0" applyNumberFormat="1" applyFont="1" applyBorder="1" applyAlignment="1">
      <alignment horizontal="right"/>
    </xf>
    <xf numFmtId="3" fontId="4" fillId="0" borderId="2" xfId="0" applyNumberFormat="1" applyFont="1" applyBorder="1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tabSelected="1" topLeftCell="A7" workbookViewId="0">
      <selection activeCell="A30" sqref="A30"/>
    </sheetView>
  </sheetViews>
  <sheetFormatPr defaultRowHeight="15" x14ac:dyDescent="0.25"/>
  <cols>
    <col min="1" max="1" width="176.28515625" bestFit="1" customWidth="1"/>
  </cols>
  <sheetData>
    <row r="1" spans="1:1" ht="21" x14ac:dyDescent="0.35">
      <c r="A1" s="1" t="s">
        <v>0</v>
      </c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3" spans="1:1" x14ac:dyDescent="0.25">
      <c r="A13" s="2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zoomScale="58" workbookViewId="0">
      <selection activeCell="B26" sqref="B26"/>
    </sheetView>
  </sheetViews>
  <sheetFormatPr defaultRowHeight="15" x14ac:dyDescent="0.25"/>
  <cols>
    <col min="1" max="1" width="50" customWidth="1"/>
    <col min="2" max="3" width="36" customWidth="1"/>
    <col min="4" max="5" width="12" customWidth="1"/>
    <col min="6" max="6" width="19" customWidth="1"/>
    <col min="7" max="7" width="21" customWidth="1"/>
    <col min="8" max="8" width="50" customWidth="1"/>
    <col min="9" max="9" width="41" customWidth="1"/>
    <col min="10" max="10" width="32" customWidth="1"/>
    <col min="11" max="12" width="15" customWidth="1"/>
  </cols>
  <sheetData>
    <row r="1" spans="1:12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</row>
    <row r="2" spans="1:12" x14ac:dyDescent="0.25">
      <c r="A2" s="4">
        <v>1001</v>
      </c>
      <c r="B2" s="5" t="s">
        <v>26</v>
      </c>
      <c r="C2" s="6">
        <v>61</v>
      </c>
      <c r="D2" s="6">
        <v>48</v>
      </c>
      <c r="E2" s="6">
        <v>76</v>
      </c>
      <c r="F2" s="7">
        <v>43101</v>
      </c>
      <c r="G2" s="8">
        <f t="shared" ref="G2:G21" si="0">AVERAGE(C2:E2)</f>
        <v>61.666666666666664</v>
      </c>
      <c r="H2" s="9" t="str">
        <f t="shared" ref="H2:H21" si="1">IF(G2&gt;=90,"A+",IF(G2&gt;=80,"A",IF(G2&gt;=70,"B",IF(G2&gt;=60,"C","F"))))</f>
        <v>C</v>
      </c>
      <c r="I2" s="9" t="str">
        <f t="shared" ref="I2:I21" si="2">IF(AND(C2&gt;80, D2&gt;80), "Yes", "No")</f>
        <v>No</v>
      </c>
      <c r="J2" s="9" t="str">
        <f t="shared" ref="J2:J21" si="3">LEFT(B2, FIND(" ", B2)-1)</f>
        <v>Student</v>
      </c>
      <c r="K2" s="9" t="str">
        <f t="shared" ref="K2:K21" si="4">UPPER(B2)</f>
        <v>STUDENT 1</v>
      </c>
      <c r="L2" s="9" t="str">
        <f t="shared" ref="L2:L21" si="5">LOWER(B2)</f>
        <v>student 1</v>
      </c>
    </row>
    <row r="3" spans="1:12" x14ac:dyDescent="0.25">
      <c r="A3" s="4">
        <v>1002</v>
      </c>
      <c r="B3" s="5" t="s">
        <v>27</v>
      </c>
      <c r="C3" s="6">
        <v>78</v>
      </c>
      <c r="D3" s="6">
        <v>76</v>
      </c>
      <c r="E3" s="6">
        <v>70</v>
      </c>
      <c r="F3" s="7">
        <v>43281</v>
      </c>
      <c r="G3" s="8">
        <f t="shared" si="0"/>
        <v>74.666666666666671</v>
      </c>
      <c r="H3" s="9" t="str">
        <f t="shared" si="1"/>
        <v>B</v>
      </c>
      <c r="I3" s="9" t="str">
        <f t="shared" si="2"/>
        <v>No</v>
      </c>
      <c r="J3" s="9" t="str">
        <f t="shared" si="3"/>
        <v>Student</v>
      </c>
      <c r="K3" s="9" t="str">
        <f t="shared" si="4"/>
        <v>STUDENT 2</v>
      </c>
      <c r="L3" s="9" t="str">
        <f t="shared" si="5"/>
        <v>student 2</v>
      </c>
    </row>
    <row r="4" spans="1:12" x14ac:dyDescent="0.25">
      <c r="A4" s="4">
        <v>1003</v>
      </c>
      <c r="B4" s="5" t="s">
        <v>28</v>
      </c>
      <c r="C4" s="6">
        <v>97</v>
      </c>
      <c r="D4" s="6">
        <v>60</v>
      </c>
      <c r="E4" s="6">
        <v>51</v>
      </c>
      <c r="F4" s="7">
        <v>43461</v>
      </c>
      <c r="G4" s="8">
        <f t="shared" si="0"/>
        <v>69.333333333333329</v>
      </c>
      <c r="H4" s="9" t="str">
        <f t="shared" si="1"/>
        <v>C</v>
      </c>
      <c r="I4" s="9" t="str">
        <f t="shared" si="2"/>
        <v>No</v>
      </c>
      <c r="J4" s="9" t="str">
        <f t="shared" si="3"/>
        <v>Student</v>
      </c>
      <c r="K4" s="9" t="str">
        <f t="shared" si="4"/>
        <v>STUDENT 3</v>
      </c>
      <c r="L4" s="9" t="str">
        <f t="shared" si="5"/>
        <v>student 3</v>
      </c>
    </row>
    <row r="5" spans="1:12" x14ac:dyDescent="0.25">
      <c r="A5" s="4">
        <v>1004</v>
      </c>
      <c r="B5" s="5" t="s">
        <v>29</v>
      </c>
      <c r="C5" s="6">
        <v>74</v>
      </c>
      <c r="D5" s="6">
        <v>55</v>
      </c>
      <c r="E5" s="6">
        <v>46</v>
      </c>
      <c r="F5" s="7">
        <v>43641</v>
      </c>
      <c r="G5" s="8">
        <f t="shared" si="0"/>
        <v>58.333333333333336</v>
      </c>
      <c r="H5" s="9" t="str">
        <f t="shared" si="1"/>
        <v>F</v>
      </c>
      <c r="I5" s="9" t="str">
        <f t="shared" si="2"/>
        <v>No</v>
      </c>
      <c r="J5" s="9" t="str">
        <f t="shared" si="3"/>
        <v>Student</v>
      </c>
      <c r="K5" s="9" t="str">
        <f t="shared" si="4"/>
        <v>STUDENT 4</v>
      </c>
      <c r="L5" s="9" t="str">
        <f t="shared" si="5"/>
        <v>student 4</v>
      </c>
    </row>
    <row r="6" spans="1:12" x14ac:dyDescent="0.25">
      <c r="A6" s="4">
        <v>1005</v>
      </c>
      <c r="B6" s="5" t="s">
        <v>30</v>
      </c>
      <c r="C6" s="6">
        <v>68</v>
      </c>
      <c r="D6" s="6">
        <v>74</v>
      </c>
      <c r="E6" s="6">
        <v>84</v>
      </c>
      <c r="F6" s="7">
        <v>43821</v>
      </c>
      <c r="G6" s="8">
        <f t="shared" si="0"/>
        <v>75.333333333333329</v>
      </c>
      <c r="H6" s="9" t="str">
        <f t="shared" si="1"/>
        <v>B</v>
      </c>
      <c r="I6" s="9" t="str">
        <f t="shared" si="2"/>
        <v>No</v>
      </c>
      <c r="J6" s="9" t="str">
        <f t="shared" si="3"/>
        <v>Student</v>
      </c>
      <c r="K6" s="9" t="str">
        <f t="shared" si="4"/>
        <v>STUDENT 5</v>
      </c>
      <c r="L6" s="9" t="str">
        <f t="shared" si="5"/>
        <v>student 5</v>
      </c>
    </row>
    <row r="7" spans="1:12" x14ac:dyDescent="0.25">
      <c r="A7" s="4">
        <v>1006</v>
      </c>
      <c r="B7" s="5" t="s">
        <v>31</v>
      </c>
      <c r="C7" s="6">
        <v>80</v>
      </c>
      <c r="D7" s="6">
        <v>70</v>
      </c>
      <c r="E7" s="6">
        <v>65</v>
      </c>
      <c r="F7" s="7">
        <v>44001</v>
      </c>
      <c r="G7" s="8">
        <f t="shared" si="0"/>
        <v>71.666666666666671</v>
      </c>
      <c r="H7" s="9" t="str">
        <f t="shared" si="1"/>
        <v>B</v>
      </c>
      <c r="I7" s="9" t="str">
        <f t="shared" si="2"/>
        <v>No</v>
      </c>
      <c r="J7" s="9" t="str">
        <f t="shared" si="3"/>
        <v>Student</v>
      </c>
      <c r="K7" s="9" t="str">
        <f t="shared" si="4"/>
        <v>STUDENT 6</v>
      </c>
      <c r="L7" s="9" t="str">
        <f t="shared" si="5"/>
        <v>student 6</v>
      </c>
    </row>
    <row r="8" spans="1:12" x14ac:dyDescent="0.25">
      <c r="A8" s="4">
        <v>1007</v>
      </c>
      <c r="B8" s="5" t="s">
        <v>32</v>
      </c>
      <c r="C8" s="6">
        <v>75</v>
      </c>
      <c r="D8" s="6">
        <v>47</v>
      </c>
      <c r="E8" s="6">
        <v>78</v>
      </c>
      <c r="F8" s="7">
        <v>44181</v>
      </c>
      <c r="G8" s="8">
        <f t="shared" si="0"/>
        <v>66.666666666666671</v>
      </c>
      <c r="H8" s="9" t="str">
        <f t="shared" si="1"/>
        <v>C</v>
      </c>
      <c r="I8" s="9" t="str">
        <f t="shared" si="2"/>
        <v>No</v>
      </c>
      <c r="J8" s="9" t="str">
        <f t="shared" si="3"/>
        <v>Student</v>
      </c>
      <c r="K8" s="9" t="str">
        <f t="shared" si="4"/>
        <v>STUDENT 7</v>
      </c>
      <c r="L8" s="9" t="str">
        <f t="shared" si="5"/>
        <v>student 7</v>
      </c>
    </row>
    <row r="9" spans="1:12" x14ac:dyDescent="0.25">
      <c r="A9" s="4">
        <v>1008</v>
      </c>
      <c r="B9" s="5" t="s">
        <v>33</v>
      </c>
      <c r="C9" s="6">
        <v>94</v>
      </c>
      <c r="D9" s="6">
        <v>67</v>
      </c>
      <c r="E9" s="6">
        <v>64</v>
      </c>
      <c r="F9" s="7">
        <v>44361</v>
      </c>
      <c r="G9" s="8">
        <f t="shared" si="0"/>
        <v>75</v>
      </c>
      <c r="H9" s="9" t="str">
        <f t="shared" si="1"/>
        <v>B</v>
      </c>
      <c r="I9" s="9" t="str">
        <f t="shared" si="2"/>
        <v>No</v>
      </c>
      <c r="J9" s="9" t="str">
        <f t="shared" si="3"/>
        <v>Student</v>
      </c>
      <c r="K9" s="9" t="str">
        <f t="shared" si="4"/>
        <v>STUDENT 8</v>
      </c>
      <c r="L9" s="9" t="str">
        <f t="shared" si="5"/>
        <v>student 8</v>
      </c>
    </row>
    <row r="10" spans="1:12" x14ac:dyDescent="0.25">
      <c r="A10" s="4">
        <v>1009</v>
      </c>
      <c r="B10" s="5" t="s">
        <v>34</v>
      </c>
      <c r="C10" s="6">
        <v>41</v>
      </c>
      <c r="D10" s="6">
        <v>75</v>
      </c>
      <c r="E10" s="6">
        <v>56</v>
      </c>
      <c r="F10" s="7">
        <v>44541</v>
      </c>
      <c r="G10" s="8">
        <f t="shared" si="0"/>
        <v>57.333333333333336</v>
      </c>
      <c r="H10" s="9" t="str">
        <f t="shared" si="1"/>
        <v>F</v>
      </c>
      <c r="I10" s="9" t="str">
        <f t="shared" si="2"/>
        <v>No</v>
      </c>
      <c r="J10" s="9" t="str">
        <f t="shared" si="3"/>
        <v>Student</v>
      </c>
      <c r="K10" s="9" t="str">
        <f t="shared" si="4"/>
        <v>STUDENT 9</v>
      </c>
      <c r="L10" s="9" t="str">
        <f t="shared" si="5"/>
        <v>student 9</v>
      </c>
    </row>
    <row r="11" spans="1:12" x14ac:dyDescent="0.25">
      <c r="A11" s="4">
        <v>1010</v>
      </c>
      <c r="B11" s="5" t="s">
        <v>35</v>
      </c>
      <c r="C11" s="6">
        <v>98</v>
      </c>
      <c r="D11" s="6">
        <v>54</v>
      </c>
      <c r="E11" s="6">
        <v>58</v>
      </c>
      <c r="F11" s="7">
        <v>44721</v>
      </c>
      <c r="G11" s="8">
        <f t="shared" si="0"/>
        <v>70</v>
      </c>
      <c r="H11" s="9" t="str">
        <f t="shared" si="1"/>
        <v>B</v>
      </c>
      <c r="I11" s="9" t="str">
        <f t="shared" si="2"/>
        <v>No</v>
      </c>
      <c r="J11" s="9" t="str">
        <f t="shared" si="3"/>
        <v>Student</v>
      </c>
      <c r="K11" s="9" t="str">
        <f t="shared" si="4"/>
        <v>STUDENT 10</v>
      </c>
      <c r="L11" s="9" t="str">
        <f t="shared" si="5"/>
        <v>student 10</v>
      </c>
    </row>
    <row r="12" spans="1:12" x14ac:dyDescent="0.25">
      <c r="A12" s="4">
        <v>1011</v>
      </c>
      <c r="B12" s="5" t="s">
        <v>36</v>
      </c>
      <c r="C12" s="6">
        <v>73</v>
      </c>
      <c r="D12" s="6">
        <v>79</v>
      </c>
      <c r="E12" s="6">
        <v>53</v>
      </c>
      <c r="F12" s="7">
        <v>44901</v>
      </c>
      <c r="G12" s="8">
        <f t="shared" si="0"/>
        <v>68.333333333333329</v>
      </c>
      <c r="H12" s="9" t="str">
        <f t="shared" si="1"/>
        <v>C</v>
      </c>
      <c r="I12" s="9" t="str">
        <f t="shared" si="2"/>
        <v>No</v>
      </c>
      <c r="J12" s="9" t="str">
        <f t="shared" si="3"/>
        <v>Student</v>
      </c>
      <c r="K12" s="9" t="str">
        <f t="shared" si="4"/>
        <v>STUDENT 11</v>
      </c>
      <c r="L12" s="9" t="str">
        <f t="shared" si="5"/>
        <v>student 11</v>
      </c>
    </row>
    <row r="13" spans="1:12" x14ac:dyDescent="0.25">
      <c r="A13" s="4">
        <v>1012</v>
      </c>
      <c r="B13" s="5" t="s">
        <v>37</v>
      </c>
      <c r="C13" s="6">
        <v>85</v>
      </c>
      <c r="D13" s="6">
        <v>89</v>
      </c>
      <c r="E13" s="6">
        <v>79</v>
      </c>
      <c r="F13" s="7">
        <v>45081</v>
      </c>
      <c r="G13" s="8">
        <f t="shared" si="0"/>
        <v>84.333333333333329</v>
      </c>
      <c r="H13" s="9" t="str">
        <f t="shared" si="1"/>
        <v>A</v>
      </c>
      <c r="I13" s="9" t="str">
        <f t="shared" si="2"/>
        <v>Yes</v>
      </c>
      <c r="J13" s="9" t="str">
        <f t="shared" si="3"/>
        <v>Student</v>
      </c>
      <c r="K13" s="9" t="str">
        <f t="shared" si="4"/>
        <v>STUDENT 12</v>
      </c>
      <c r="L13" s="9" t="str">
        <f t="shared" si="5"/>
        <v>student 12</v>
      </c>
    </row>
    <row r="14" spans="1:12" x14ac:dyDescent="0.25">
      <c r="A14" s="4">
        <v>1013</v>
      </c>
      <c r="B14" s="5" t="s">
        <v>38</v>
      </c>
      <c r="C14" s="6">
        <v>98</v>
      </c>
      <c r="D14" s="6">
        <v>90</v>
      </c>
      <c r="E14" s="6">
        <v>97</v>
      </c>
      <c r="F14" s="7">
        <v>45261</v>
      </c>
      <c r="G14" s="8">
        <f t="shared" si="0"/>
        <v>95</v>
      </c>
      <c r="H14" s="9" t="str">
        <f t="shared" si="1"/>
        <v>A+</v>
      </c>
      <c r="I14" s="9" t="str">
        <f t="shared" si="2"/>
        <v>Yes</v>
      </c>
      <c r="J14" s="9" t="str">
        <f t="shared" si="3"/>
        <v>Student</v>
      </c>
      <c r="K14" s="9" t="str">
        <f t="shared" si="4"/>
        <v>STUDENT 13</v>
      </c>
      <c r="L14" s="9" t="str">
        <f t="shared" si="5"/>
        <v>student 13</v>
      </c>
    </row>
    <row r="15" spans="1:12" x14ac:dyDescent="0.25">
      <c r="A15" s="4">
        <v>1014</v>
      </c>
      <c r="B15" s="5" t="s">
        <v>39</v>
      </c>
      <c r="C15" s="6">
        <v>93</v>
      </c>
      <c r="D15" s="6">
        <v>40</v>
      </c>
      <c r="E15" s="6">
        <v>44</v>
      </c>
      <c r="F15" s="7">
        <v>45441</v>
      </c>
      <c r="G15" s="8">
        <f t="shared" si="0"/>
        <v>59</v>
      </c>
      <c r="H15" s="9" t="str">
        <f t="shared" si="1"/>
        <v>F</v>
      </c>
      <c r="I15" s="9" t="str">
        <f t="shared" si="2"/>
        <v>No</v>
      </c>
      <c r="J15" s="9" t="str">
        <f t="shared" si="3"/>
        <v>Student</v>
      </c>
      <c r="K15" s="9" t="str">
        <f t="shared" si="4"/>
        <v>STUDENT 14</v>
      </c>
      <c r="L15" s="9" t="str">
        <f t="shared" si="5"/>
        <v>student 14</v>
      </c>
    </row>
    <row r="16" spans="1:12" x14ac:dyDescent="0.25">
      <c r="A16" s="4">
        <v>1015</v>
      </c>
      <c r="B16" s="5" t="s">
        <v>40</v>
      </c>
      <c r="C16" s="6">
        <v>70</v>
      </c>
      <c r="D16" s="6">
        <v>51</v>
      </c>
      <c r="E16" s="6">
        <v>75</v>
      </c>
      <c r="F16" s="7">
        <v>45621</v>
      </c>
      <c r="G16" s="8">
        <f t="shared" si="0"/>
        <v>65.333333333333329</v>
      </c>
      <c r="H16" s="9" t="str">
        <f t="shared" si="1"/>
        <v>C</v>
      </c>
      <c r="I16" s="9" t="str">
        <f t="shared" si="2"/>
        <v>No</v>
      </c>
      <c r="J16" s="9" t="str">
        <f t="shared" si="3"/>
        <v>Student</v>
      </c>
      <c r="K16" s="9" t="str">
        <f t="shared" si="4"/>
        <v>STUDENT 15</v>
      </c>
      <c r="L16" s="9" t="str">
        <f t="shared" si="5"/>
        <v>student 15</v>
      </c>
    </row>
    <row r="17" spans="1:12" x14ac:dyDescent="0.25">
      <c r="A17" s="4">
        <v>1016</v>
      </c>
      <c r="B17" s="5" t="s">
        <v>41</v>
      </c>
      <c r="C17" s="6">
        <v>98</v>
      </c>
      <c r="D17" s="6">
        <v>77</v>
      </c>
      <c r="E17" s="6">
        <v>60</v>
      </c>
      <c r="F17" s="7">
        <v>45801</v>
      </c>
      <c r="G17" s="8">
        <f t="shared" si="0"/>
        <v>78.333333333333329</v>
      </c>
      <c r="H17" s="9" t="str">
        <f t="shared" si="1"/>
        <v>B</v>
      </c>
      <c r="I17" s="9" t="str">
        <f t="shared" si="2"/>
        <v>No</v>
      </c>
      <c r="J17" s="9" t="str">
        <f t="shared" si="3"/>
        <v>Student</v>
      </c>
      <c r="K17" s="9" t="str">
        <f t="shared" si="4"/>
        <v>STUDENT 16</v>
      </c>
      <c r="L17" s="9" t="str">
        <f t="shared" si="5"/>
        <v>student 16</v>
      </c>
    </row>
    <row r="18" spans="1:12" x14ac:dyDescent="0.25">
      <c r="A18" s="4">
        <v>1017</v>
      </c>
      <c r="B18" s="5" t="s">
        <v>42</v>
      </c>
      <c r="C18" s="6">
        <v>66</v>
      </c>
      <c r="D18" s="6">
        <v>59</v>
      </c>
      <c r="E18" s="6">
        <v>40</v>
      </c>
      <c r="F18" s="7">
        <v>45981</v>
      </c>
      <c r="G18" s="8">
        <f t="shared" si="0"/>
        <v>55</v>
      </c>
      <c r="H18" s="9" t="str">
        <f t="shared" si="1"/>
        <v>F</v>
      </c>
      <c r="I18" s="9" t="str">
        <f t="shared" si="2"/>
        <v>No</v>
      </c>
      <c r="J18" s="9" t="str">
        <f t="shared" si="3"/>
        <v>Student</v>
      </c>
      <c r="K18" s="9" t="str">
        <f t="shared" si="4"/>
        <v>STUDENT 17</v>
      </c>
      <c r="L18" s="9" t="str">
        <f t="shared" si="5"/>
        <v>student 17</v>
      </c>
    </row>
    <row r="19" spans="1:12" x14ac:dyDescent="0.25">
      <c r="A19" s="4">
        <v>1018</v>
      </c>
      <c r="B19" s="5" t="s">
        <v>43</v>
      </c>
      <c r="C19" s="6">
        <v>82</v>
      </c>
      <c r="D19" s="6">
        <v>48</v>
      </c>
      <c r="E19" s="6">
        <v>79</v>
      </c>
      <c r="F19" s="7">
        <v>46161</v>
      </c>
      <c r="G19" s="8">
        <f t="shared" si="0"/>
        <v>69.666666666666671</v>
      </c>
      <c r="H19" s="9" t="str">
        <f t="shared" si="1"/>
        <v>C</v>
      </c>
      <c r="I19" s="9" t="str">
        <f t="shared" si="2"/>
        <v>No</v>
      </c>
      <c r="J19" s="9" t="str">
        <f t="shared" si="3"/>
        <v>Student</v>
      </c>
      <c r="K19" s="9" t="str">
        <f t="shared" si="4"/>
        <v>STUDENT 18</v>
      </c>
      <c r="L19" s="9" t="str">
        <f t="shared" si="5"/>
        <v>student 18</v>
      </c>
    </row>
    <row r="20" spans="1:12" x14ac:dyDescent="0.25">
      <c r="A20" s="4">
        <v>1019</v>
      </c>
      <c r="B20" s="5" t="s">
        <v>44</v>
      </c>
      <c r="C20" s="6">
        <v>90</v>
      </c>
      <c r="D20" s="6">
        <v>78</v>
      </c>
      <c r="E20" s="6">
        <v>60</v>
      </c>
      <c r="F20" s="7">
        <v>46341</v>
      </c>
      <c r="G20" s="8">
        <f t="shared" si="0"/>
        <v>76</v>
      </c>
      <c r="H20" s="9" t="str">
        <f t="shared" si="1"/>
        <v>B</v>
      </c>
      <c r="I20" s="9" t="str">
        <f t="shared" si="2"/>
        <v>No</v>
      </c>
      <c r="J20" s="9" t="str">
        <f t="shared" si="3"/>
        <v>Student</v>
      </c>
      <c r="K20" s="9" t="str">
        <f t="shared" si="4"/>
        <v>STUDENT 19</v>
      </c>
      <c r="L20" s="9" t="str">
        <f t="shared" si="5"/>
        <v>student 19</v>
      </c>
    </row>
    <row r="21" spans="1:12" x14ac:dyDescent="0.25">
      <c r="A21" s="4">
        <v>1020</v>
      </c>
      <c r="B21" s="5" t="s">
        <v>45</v>
      </c>
      <c r="C21" s="6">
        <v>83</v>
      </c>
      <c r="D21" s="6">
        <v>92</v>
      </c>
      <c r="E21" s="6">
        <v>55</v>
      </c>
      <c r="F21" s="7">
        <v>46521</v>
      </c>
      <c r="G21" s="8">
        <f t="shared" si="0"/>
        <v>76.666666666666671</v>
      </c>
      <c r="H21" s="9" t="str">
        <f t="shared" si="1"/>
        <v>B</v>
      </c>
      <c r="I21" s="9" t="str">
        <f t="shared" si="2"/>
        <v>Yes</v>
      </c>
      <c r="J21" s="9" t="str">
        <f t="shared" si="3"/>
        <v>Student</v>
      </c>
      <c r="K21" s="9" t="str">
        <f t="shared" si="4"/>
        <v>STUDENT 20</v>
      </c>
      <c r="L21" s="9" t="str">
        <f t="shared" si="5"/>
        <v>student 20</v>
      </c>
    </row>
    <row r="24" spans="1:12" x14ac:dyDescent="0.25">
      <c r="A24" s="10" t="s">
        <v>46</v>
      </c>
      <c r="B24" s="10"/>
      <c r="C24" s="10"/>
    </row>
    <row r="25" spans="1:12" x14ac:dyDescent="0.25">
      <c r="A25" s="11" t="s">
        <v>47</v>
      </c>
      <c r="B25" s="11" t="s">
        <v>48</v>
      </c>
      <c r="C25" s="11" t="s">
        <v>49</v>
      </c>
    </row>
    <row r="26" spans="1:12" x14ac:dyDescent="0.25">
      <c r="A26" t="s">
        <v>50</v>
      </c>
      <c r="B26">
        <f>COUNTIF(C2:C21, "&gt;50")</f>
        <v>19</v>
      </c>
      <c r="C26">
        <f>COUNTIF(C2:C21, "&gt;50")</f>
        <v>19</v>
      </c>
    </row>
    <row r="27" spans="1:12" x14ac:dyDescent="0.25">
      <c r="A27" t="s">
        <v>51</v>
      </c>
      <c r="B27">
        <f>COUNTIFS(C2:C21, "&gt;60")</f>
        <v>19</v>
      </c>
      <c r="C27">
        <f>COUNTIFS(C2:C21, "&gt;60")</f>
        <v>19</v>
      </c>
    </row>
    <row r="28" spans="1:12" x14ac:dyDescent="0.25">
      <c r="A28" t="s">
        <v>52</v>
      </c>
      <c r="B28">
        <f>AVERAGEIF(C2:C21, "&gt;60")</f>
        <v>82.263157894736835</v>
      </c>
      <c r="C28">
        <f>AVERAGEIF(C2:C21, "&gt;60")</f>
        <v>82.263157894736835</v>
      </c>
    </row>
    <row r="29" spans="1:12" x14ac:dyDescent="0.25">
      <c r="A29" t="s">
        <v>53</v>
      </c>
      <c r="B29" t="str">
        <f>VLOOKUP(1008, A2:B21, 2, FALSE)</f>
        <v>Student 8</v>
      </c>
      <c r="C29" t="str">
        <f>VLOOKUP(1008, A2:B21, 2, FALSE)</f>
        <v>Student 8</v>
      </c>
    </row>
    <row r="32" spans="1:12" x14ac:dyDescent="0.25">
      <c r="A32" s="10" t="s">
        <v>54</v>
      </c>
      <c r="B32" s="10"/>
      <c r="C32" s="1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zoomScale="62" workbookViewId="0"/>
  </sheetViews>
  <sheetFormatPr defaultRowHeight="15" x14ac:dyDescent="0.25"/>
  <cols>
    <col min="1" max="3" width="50" customWidth="1"/>
    <col min="4" max="4" width="15" customWidth="1"/>
    <col min="5" max="5" width="12" customWidth="1"/>
    <col min="6" max="6" width="14" customWidth="1"/>
    <col min="7" max="7" width="50" customWidth="1"/>
    <col min="8" max="8" width="32" customWidth="1"/>
    <col min="9" max="9" width="16" customWidth="1"/>
  </cols>
  <sheetData>
    <row r="1" spans="1:9" x14ac:dyDescent="0.25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spans="1:9" x14ac:dyDescent="0.25">
      <c r="A2" s="4">
        <v>2001</v>
      </c>
      <c r="B2" s="12" t="s">
        <v>64</v>
      </c>
      <c r="C2" s="12" t="s">
        <v>65</v>
      </c>
      <c r="D2" s="12" t="s">
        <v>66</v>
      </c>
      <c r="E2" s="13">
        <v>7048</v>
      </c>
      <c r="F2" s="7">
        <v>44927</v>
      </c>
      <c r="G2" s="9" t="str">
        <f t="shared" ref="G2:G21" si="0">IF(OR(B2="Laptop", E2&gt;=30000), "Eligible", "Not Eligible")</f>
        <v>Not Eligible</v>
      </c>
      <c r="H2" s="13">
        <f t="shared" ref="H2:H21" si="1">IF(E2&gt;=30000, E2*0.1, 0)</f>
        <v>0</v>
      </c>
      <c r="I2" s="13">
        <f t="shared" ref="I2:I21" si="2">E2-H2</f>
        <v>7048</v>
      </c>
    </row>
    <row r="3" spans="1:9" x14ac:dyDescent="0.25">
      <c r="A3" s="4">
        <v>2002</v>
      </c>
      <c r="B3" s="12" t="s">
        <v>67</v>
      </c>
      <c r="C3" s="12" t="s">
        <v>68</v>
      </c>
      <c r="D3" s="12" t="s">
        <v>69</v>
      </c>
      <c r="E3" s="13">
        <v>17428</v>
      </c>
      <c r="F3" s="7">
        <v>44942</v>
      </c>
      <c r="G3" s="9" t="str">
        <f t="shared" si="0"/>
        <v>Not Eligible</v>
      </c>
      <c r="H3" s="13">
        <f t="shared" si="1"/>
        <v>0</v>
      </c>
      <c r="I3" s="13">
        <f t="shared" si="2"/>
        <v>17428</v>
      </c>
    </row>
    <row r="4" spans="1:9" x14ac:dyDescent="0.25">
      <c r="A4" s="4">
        <v>2003</v>
      </c>
      <c r="B4" s="12" t="s">
        <v>70</v>
      </c>
      <c r="C4" s="12" t="s">
        <v>65</v>
      </c>
      <c r="D4" s="12" t="s">
        <v>71</v>
      </c>
      <c r="E4" s="13">
        <v>23672</v>
      </c>
      <c r="F4" s="7">
        <v>44957</v>
      </c>
      <c r="G4" s="9" t="str">
        <f t="shared" si="0"/>
        <v>Not Eligible</v>
      </c>
      <c r="H4" s="13">
        <f t="shared" si="1"/>
        <v>0</v>
      </c>
      <c r="I4" s="13">
        <f t="shared" si="2"/>
        <v>23672</v>
      </c>
    </row>
    <row r="5" spans="1:9" x14ac:dyDescent="0.25">
      <c r="A5" s="4">
        <v>2004</v>
      </c>
      <c r="B5" s="12" t="s">
        <v>67</v>
      </c>
      <c r="C5" s="12" t="s">
        <v>72</v>
      </c>
      <c r="D5" s="12" t="s">
        <v>73</v>
      </c>
      <c r="E5" s="13">
        <v>5264</v>
      </c>
      <c r="F5" s="7">
        <v>44972</v>
      </c>
      <c r="G5" s="9" t="str">
        <f t="shared" si="0"/>
        <v>Not Eligible</v>
      </c>
      <c r="H5" s="13">
        <f t="shared" si="1"/>
        <v>0</v>
      </c>
      <c r="I5" s="13">
        <f t="shared" si="2"/>
        <v>5264</v>
      </c>
    </row>
    <row r="6" spans="1:9" x14ac:dyDescent="0.25">
      <c r="A6" s="4">
        <v>2005</v>
      </c>
      <c r="B6" s="12" t="s">
        <v>64</v>
      </c>
      <c r="C6" s="12" t="s">
        <v>74</v>
      </c>
      <c r="D6" s="12" t="s">
        <v>75</v>
      </c>
      <c r="E6" s="13">
        <v>43388</v>
      </c>
      <c r="F6" s="7">
        <v>44987</v>
      </c>
      <c r="G6" s="9" t="str">
        <f t="shared" si="0"/>
        <v>Eligible</v>
      </c>
      <c r="H6" s="13">
        <f t="shared" si="1"/>
        <v>4338.8</v>
      </c>
      <c r="I6" s="13">
        <f t="shared" si="2"/>
        <v>39049.199999999997</v>
      </c>
    </row>
    <row r="7" spans="1:9" x14ac:dyDescent="0.25">
      <c r="A7" s="4">
        <v>2006</v>
      </c>
      <c r="B7" s="12" t="s">
        <v>70</v>
      </c>
      <c r="C7" s="12" t="s">
        <v>74</v>
      </c>
      <c r="D7" s="12" t="s">
        <v>76</v>
      </c>
      <c r="E7" s="13">
        <v>19757</v>
      </c>
      <c r="F7" s="7">
        <v>45002</v>
      </c>
      <c r="G7" s="9" t="str">
        <f t="shared" si="0"/>
        <v>Not Eligible</v>
      </c>
      <c r="H7" s="13">
        <f t="shared" si="1"/>
        <v>0</v>
      </c>
      <c r="I7" s="13">
        <f t="shared" si="2"/>
        <v>19757</v>
      </c>
    </row>
    <row r="8" spans="1:9" x14ac:dyDescent="0.25">
      <c r="A8" s="4">
        <v>2007</v>
      </c>
      <c r="B8" s="12" t="s">
        <v>70</v>
      </c>
      <c r="C8" s="12" t="s">
        <v>72</v>
      </c>
      <c r="D8" s="12" t="s">
        <v>77</v>
      </c>
      <c r="E8" s="13">
        <v>32058</v>
      </c>
      <c r="F8" s="7">
        <v>45017</v>
      </c>
      <c r="G8" s="9" t="str">
        <f t="shared" si="0"/>
        <v>Eligible</v>
      </c>
      <c r="H8" s="13">
        <f t="shared" si="1"/>
        <v>3205.8</v>
      </c>
      <c r="I8" s="13">
        <f t="shared" si="2"/>
        <v>28852.2</v>
      </c>
    </row>
    <row r="9" spans="1:9" x14ac:dyDescent="0.25">
      <c r="A9" s="4">
        <v>2008</v>
      </c>
      <c r="B9" s="12" t="s">
        <v>64</v>
      </c>
      <c r="C9" s="12" t="s">
        <v>72</v>
      </c>
      <c r="D9" s="12" t="s">
        <v>78</v>
      </c>
      <c r="E9" s="13">
        <v>46429</v>
      </c>
      <c r="F9" s="7">
        <v>45032</v>
      </c>
      <c r="G9" s="9" t="str">
        <f t="shared" si="0"/>
        <v>Eligible</v>
      </c>
      <c r="H9" s="13">
        <f t="shared" si="1"/>
        <v>4642.9000000000005</v>
      </c>
      <c r="I9" s="13">
        <f t="shared" si="2"/>
        <v>41786.1</v>
      </c>
    </row>
    <row r="10" spans="1:9" x14ac:dyDescent="0.25">
      <c r="A10" s="4">
        <v>2009</v>
      </c>
      <c r="B10" s="12" t="s">
        <v>67</v>
      </c>
      <c r="C10" s="12" t="s">
        <v>72</v>
      </c>
      <c r="D10" s="12" t="s">
        <v>79</v>
      </c>
      <c r="E10" s="13">
        <v>19746</v>
      </c>
      <c r="F10" s="7">
        <v>45047</v>
      </c>
      <c r="G10" s="9" t="str">
        <f t="shared" si="0"/>
        <v>Not Eligible</v>
      </c>
      <c r="H10" s="13">
        <f t="shared" si="1"/>
        <v>0</v>
      </c>
      <c r="I10" s="13">
        <f t="shared" si="2"/>
        <v>19746</v>
      </c>
    </row>
    <row r="11" spans="1:9" x14ac:dyDescent="0.25">
      <c r="A11" s="4">
        <v>2010</v>
      </c>
      <c r="B11" s="12" t="s">
        <v>64</v>
      </c>
      <c r="C11" s="12" t="s">
        <v>65</v>
      </c>
      <c r="D11" s="12" t="s">
        <v>80</v>
      </c>
      <c r="E11" s="13">
        <v>35185</v>
      </c>
      <c r="F11" s="7">
        <v>45062</v>
      </c>
      <c r="G11" s="9" t="str">
        <f t="shared" si="0"/>
        <v>Eligible</v>
      </c>
      <c r="H11" s="13">
        <f t="shared" si="1"/>
        <v>3518.5</v>
      </c>
      <c r="I11" s="13">
        <f t="shared" si="2"/>
        <v>31666.5</v>
      </c>
    </row>
    <row r="12" spans="1:9" x14ac:dyDescent="0.25">
      <c r="A12" s="4">
        <v>2011</v>
      </c>
      <c r="B12" s="12" t="s">
        <v>64</v>
      </c>
      <c r="C12" s="12" t="s">
        <v>72</v>
      </c>
      <c r="D12" s="12" t="s">
        <v>81</v>
      </c>
      <c r="E12" s="13">
        <v>33920</v>
      </c>
      <c r="F12" s="7">
        <v>45077</v>
      </c>
      <c r="G12" s="9" t="str">
        <f t="shared" si="0"/>
        <v>Eligible</v>
      </c>
      <c r="H12" s="13">
        <f t="shared" si="1"/>
        <v>3392</v>
      </c>
      <c r="I12" s="13">
        <f t="shared" si="2"/>
        <v>30528</v>
      </c>
    </row>
    <row r="13" spans="1:9" x14ac:dyDescent="0.25">
      <c r="A13" s="4">
        <v>2012</v>
      </c>
      <c r="B13" s="12" t="s">
        <v>82</v>
      </c>
      <c r="C13" s="12" t="s">
        <v>74</v>
      </c>
      <c r="D13" s="12" t="s">
        <v>83</v>
      </c>
      <c r="E13" s="13">
        <v>35611</v>
      </c>
      <c r="F13" s="7">
        <v>45092</v>
      </c>
      <c r="G13" s="9" t="str">
        <f t="shared" si="0"/>
        <v>Eligible</v>
      </c>
      <c r="H13" s="13">
        <f t="shared" si="1"/>
        <v>3561.1000000000004</v>
      </c>
      <c r="I13" s="13">
        <f t="shared" si="2"/>
        <v>32049.9</v>
      </c>
    </row>
    <row r="14" spans="1:9" x14ac:dyDescent="0.25">
      <c r="A14" s="4">
        <v>2013</v>
      </c>
      <c r="B14" s="12" t="s">
        <v>84</v>
      </c>
      <c r="C14" s="12" t="s">
        <v>72</v>
      </c>
      <c r="D14" s="12" t="s">
        <v>85</v>
      </c>
      <c r="E14" s="13">
        <v>15560</v>
      </c>
      <c r="F14" s="7">
        <v>45107</v>
      </c>
      <c r="G14" s="9" t="str">
        <f t="shared" si="0"/>
        <v>Eligible</v>
      </c>
      <c r="H14" s="13">
        <f t="shared" si="1"/>
        <v>0</v>
      </c>
      <c r="I14" s="13">
        <f t="shared" si="2"/>
        <v>15560</v>
      </c>
    </row>
    <row r="15" spans="1:9" x14ac:dyDescent="0.25">
      <c r="A15" s="4">
        <v>2014</v>
      </c>
      <c r="B15" s="12" t="s">
        <v>84</v>
      </c>
      <c r="C15" s="12" t="s">
        <v>65</v>
      </c>
      <c r="D15" s="12" t="s">
        <v>86</v>
      </c>
      <c r="E15" s="13">
        <v>7283</v>
      </c>
      <c r="F15" s="7">
        <v>45122</v>
      </c>
      <c r="G15" s="9" t="str">
        <f t="shared" si="0"/>
        <v>Eligible</v>
      </c>
      <c r="H15" s="13">
        <f t="shared" si="1"/>
        <v>0</v>
      </c>
      <c r="I15" s="13">
        <f t="shared" si="2"/>
        <v>7283</v>
      </c>
    </row>
    <row r="16" spans="1:9" x14ac:dyDescent="0.25">
      <c r="A16" s="4">
        <v>2015</v>
      </c>
      <c r="B16" s="12" t="s">
        <v>84</v>
      </c>
      <c r="C16" s="12" t="s">
        <v>72</v>
      </c>
      <c r="D16" s="12" t="s">
        <v>87</v>
      </c>
      <c r="E16" s="13">
        <v>15678</v>
      </c>
      <c r="F16" s="7">
        <v>45137</v>
      </c>
      <c r="G16" s="9" t="str">
        <f t="shared" si="0"/>
        <v>Eligible</v>
      </c>
      <c r="H16" s="13">
        <f t="shared" si="1"/>
        <v>0</v>
      </c>
      <c r="I16" s="13">
        <f t="shared" si="2"/>
        <v>15678</v>
      </c>
    </row>
    <row r="17" spans="1:9" x14ac:dyDescent="0.25">
      <c r="A17" s="4">
        <v>2016</v>
      </c>
      <c r="B17" s="12" t="s">
        <v>70</v>
      </c>
      <c r="C17" s="12" t="s">
        <v>72</v>
      </c>
      <c r="D17" s="12" t="s">
        <v>88</v>
      </c>
      <c r="E17" s="13">
        <v>5277</v>
      </c>
      <c r="F17" s="7">
        <v>45152</v>
      </c>
      <c r="G17" s="9" t="str">
        <f t="shared" si="0"/>
        <v>Not Eligible</v>
      </c>
      <c r="H17" s="13">
        <f t="shared" si="1"/>
        <v>0</v>
      </c>
      <c r="I17" s="13">
        <f t="shared" si="2"/>
        <v>5277</v>
      </c>
    </row>
    <row r="18" spans="1:9" x14ac:dyDescent="0.25">
      <c r="A18" s="4">
        <v>2017</v>
      </c>
      <c r="B18" s="12" t="s">
        <v>82</v>
      </c>
      <c r="C18" s="12" t="s">
        <v>74</v>
      </c>
      <c r="D18" s="12" t="s">
        <v>89</v>
      </c>
      <c r="E18" s="13">
        <v>41871</v>
      </c>
      <c r="F18" s="7">
        <v>45167</v>
      </c>
      <c r="G18" s="9" t="str">
        <f t="shared" si="0"/>
        <v>Eligible</v>
      </c>
      <c r="H18" s="13">
        <f t="shared" si="1"/>
        <v>4187.1000000000004</v>
      </c>
      <c r="I18" s="13">
        <f t="shared" si="2"/>
        <v>37683.9</v>
      </c>
    </row>
    <row r="19" spans="1:9" x14ac:dyDescent="0.25">
      <c r="A19" s="4">
        <v>2018</v>
      </c>
      <c r="B19" s="12" t="s">
        <v>82</v>
      </c>
      <c r="C19" s="12" t="s">
        <v>68</v>
      </c>
      <c r="D19" s="12" t="s">
        <v>90</v>
      </c>
      <c r="E19" s="13">
        <v>38161</v>
      </c>
      <c r="F19" s="7">
        <v>45182</v>
      </c>
      <c r="G19" s="9" t="str">
        <f t="shared" si="0"/>
        <v>Eligible</v>
      </c>
      <c r="H19" s="13">
        <f t="shared" si="1"/>
        <v>3816.1000000000004</v>
      </c>
      <c r="I19" s="13">
        <f t="shared" si="2"/>
        <v>34344.9</v>
      </c>
    </row>
    <row r="20" spans="1:9" x14ac:dyDescent="0.25">
      <c r="A20" s="4">
        <v>2019</v>
      </c>
      <c r="B20" s="12" t="s">
        <v>70</v>
      </c>
      <c r="C20" s="12" t="s">
        <v>68</v>
      </c>
      <c r="D20" s="12" t="s">
        <v>91</v>
      </c>
      <c r="E20" s="13">
        <v>30436</v>
      </c>
      <c r="F20" s="7">
        <v>45197</v>
      </c>
      <c r="G20" s="9" t="str">
        <f t="shared" si="0"/>
        <v>Eligible</v>
      </c>
      <c r="H20" s="13">
        <f t="shared" si="1"/>
        <v>3043.6000000000004</v>
      </c>
      <c r="I20" s="13">
        <f t="shared" si="2"/>
        <v>27392.400000000001</v>
      </c>
    </row>
    <row r="21" spans="1:9" x14ac:dyDescent="0.25">
      <c r="A21" s="4">
        <v>2020</v>
      </c>
      <c r="B21" s="12" t="s">
        <v>67</v>
      </c>
      <c r="C21" s="12" t="s">
        <v>68</v>
      </c>
      <c r="D21" s="12" t="s">
        <v>92</v>
      </c>
      <c r="E21" s="13">
        <v>33953</v>
      </c>
      <c r="F21" s="7">
        <v>45212</v>
      </c>
      <c r="G21" s="9" t="str">
        <f t="shared" si="0"/>
        <v>Eligible</v>
      </c>
      <c r="H21" s="13">
        <f t="shared" si="1"/>
        <v>3395.3</v>
      </c>
      <c r="I21" s="13">
        <f t="shared" si="2"/>
        <v>30557.7</v>
      </c>
    </row>
    <row r="24" spans="1:9" x14ac:dyDescent="0.25">
      <c r="A24" s="10" t="s">
        <v>93</v>
      </c>
      <c r="B24" s="10"/>
      <c r="C24" s="10"/>
    </row>
    <row r="25" spans="1:9" x14ac:dyDescent="0.25">
      <c r="A25" s="11" t="s">
        <v>47</v>
      </c>
      <c r="B25" s="11" t="s">
        <v>48</v>
      </c>
      <c r="C25" s="11" t="s">
        <v>49</v>
      </c>
    </row>
    <row r="26" spans="1:9" x14ac:dyDescent="0.25">
      <c r="A26" t="s">
        <v>94</v>
      </c>
      <c r="B26">
        <f>SUMIFS(E2:E21, C2:C21, "East", B2:B21, "Keyboard")</f>
        <v>80349</v>
      </c>
      <c r="C26">
        <f>SUMIFS(E2:E21, C2:C21, "East", B2:B21, "Keyboard")</f>
        <v>80349</v>
      </c>
    </row>
    <row r="27" spans="1:9" x14ac:dyDescent="0.25">
      <c r="A27" t="s">
        <v>95</v>
      </c>
      <c r="B27">
        <f>AVERAGEIFS(E2:E21, C2:C21, "South")</f>
        <v>18297</v>
      </c>
      <c r="C27">
        <f>AVERAGEIFS(E2:E21, C2:C21, "South")</f>
        <v>18297</v>
      </c>
    </row>
    <row r="28" spans="1:9" x14ac:dyDescent="0.25">
      <c r="A28" t="s">
        <v>96</v>
      </c>
      <c r="B28" t="e">
        <f ca="1">XLOOKUP("Person 12", D2:D21, E2:E21, "Not Found")</f>
        <v>#NAME?</v>
      </c>
      <c r="C28" t="e">
        <f ca="1">XLOOKUP("Person 12", D2:D21, E2:E21, "Not Found")</f>
        <v>#NAME?</v>
      </c>
    </row>
    <row r="29" spans="1:9" x14ac:dyDescent="0.25">
      <c r="A29" t="s">
        <v>97</v>
      </c>
      <c r="B29">
        <f>INDEX(E2:E21, MATCH("Person 12", D2:D21, 0))</f>
        <v>35611</v>
      </c>
      <c r="C29">
        <f>INDEX(E2:E21, MATCH("Person 12", D2:D21, 0))</f>
        <v>35611</v>
      </c>
    </row>
    <row r="30" spans="1:9" x14ac:dyDescent="0.25">
      <c r="A30" t="s">
        <v>98</v>
      </c>
      <c r="B30" t="e">
        <f ca="1">XMATCH("Monitor", B2:B21)</f>
        <v>#NAME?</v>
      </c>
      <c r="C30" t="e">
        <f ca="1">XMATCH("Monitor", B2:B21)</f>
        <v>#NAME?</v>
      </c>
    </row>
    <row r="31" spans="1:9" x14ac:dyDescent="0.25">
      <c r="A31" t="s">
        <v>99</v>
      </c>
      <c r="B31">
        <f ca="1">SUM(INDIRECT("E2:E21"))</f>
        <v>507725</v>
      </c>
      <c r="C31">
        <f ca="1">SUM(INDIRECT("E2:E21"))</f>
        <v>507725</v>
      </c>
    </row>
    <row r="32" spans="1:9" x14ac:dyDescent="0.25">
      <c r="A32" s="10" t="s">
        <v>100</v>
      </c>
      <c r="B32" s="10">
        <f ca="1">SUM(OFFSET(E2, 0, 0, 20, 1))</f>
        <v>507725</v>
      </c>
      <c r="C32" s="10">
        <f ca="1">SUM(OFFSET(E2, 0, 0, 20, 1))</f>
        <v>507725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="70" workbookViewId="0">
      <selection activeCell="C26" sqref="C26"/>
    </sheetView>
  </sheetViews>
  <sheetFormatPr defaultRowHeight="15" x14ac:dyDescent="0.25"/>
  <cols>
    <col min="1" max="1" width="50" customWidth="1"/>
    <col min="2" max="3" width="47" customWidth="1"/>
    <col min="4" max="4" width="12" customWidth="1"/>
    <col min="5" max="5" width="16" customWidth="1"/>
    <col min="6" max="6" width="31" customWidth="1"/>
    <col min="7" max="7" width="21" customWidth="1"/>
    <col min="8" max="8" width="19" customWidth="1"/>
    <col min="9" max="9" width="25" customWidth="1"/>
    <col min="10" max="10" width="23" customWidth="1"/>
  </cols>
  <sheetData>
    <row r="1" spans="1:10" x14ac:dyDescent="0.25">
      <c r="A1" s="3" t="s">
        <v>101</v>
      </c>
      <c r="B1" s="3" t="s">
        <v>15</v>
      </c>
      <c r="C1" s="3" t="s">
        <v>102</v>
      </c>
      <c r="D1" s="3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  <c r="J1" s="3" t="s">
        <v>109</v>
      </c>
    </row>
    <row r="2" spans="1:10" x14ac:dyDescent="0.25">
      <c r="A2" s="4">
        <v>3001</v>
      </c>
      <c r="B2" s="5" t="s">
        <v>110</v>
      </c>
      <c r="C2" s="5" t="s">
        <v>111</v>
      </c>
      <c r="D2" s="13">
        <v>86766</v>
      </c>
      <c r="E2" s="7">
        <v>42005</v>
      </c>
      <c r="F2" s="14">
        <f t="shared" ref="F2:F21" ca="1" si="0">DATEDIF(E2, TODAY(), "Y")</f>
        <v>11</v>
      </c>
      <c r="G2" s="14">
        <f t="shared" ref="G2:G21" ca="1" si="1">TODAY()-E2</f>
        <v>4304</v>
      </c>
      <c r="H2" s="13">
        <f t="shared" ref="H2:H21" si="2">ROUND(D2, -2)</f>
        <v>86800</v>
      </c>
      <c r="I2" s="13">
        <f t="shared" ref="I2:I21" si="3">CEILING(D2, 100)</f>
        <v>86800</v>
      </c>
      <c r="J2" s="13">
        <f t="shared" ref="J2:J21" si="4">FLOOR(D2, 100)</f>
        <v>86700</v>
      </c>
    </row>
    <row r="3" spans="1:10" x14ac:dyDescent="0.25">
      <c r="A3" s="4">
        <v>3002</v>
      </c>
      <c r="B3" s="5" t="s">
        <v>112</v>
      </c>
      <c r="C3" s="5" t="s">
        <v>111</v>
      </c>
      <c r="D3" s="13">
        <v>31943</v>
      </c>
      <c r="E3" s="7">
        <v>42255</v>
      </c>
      <c r="F3" s="14">
        <f t="shared" ca="1" si="0"/>
        <v>11</v>
      </c>
      <c r="G3" s="14">
        <f t="shared" ca="1" si="1"/>
        <v>4054</v>
      </c>
      <c r="H3" s="13">
        <f t="shared" si="2"/>
        <v>31900</v>
      </c>
      <c r="I3" s="13">
        <f t="shared" si="3"/>
        <v>32000</v>
      </c>
      <c r="J3" s="13">
        <f t="shared" si="4"/>
        <v>31900</v>
      </c>
    </row>
    <row r="4" spans="1:10" x14ac:dyDescent="0.25">
      <c r="A4" s="4">
        <v>3003</v>
      </c>
      <c r="B4" s="5" t="s">
        <v>113</v>
      </c>
      <c r="C4" s="5" t="s">
        <v>114</v>
      </c>
      <c r="D4" s="13">
        <v>63374</v>
      </c>
      <c r="E4" s="7">
        <v>42505</v>
      </c>
      <c r="F4" s="14">
        <f t="shared" ca="1" si="0"/>
        <v>10</v>
      </c>
      <c r="G4" s="14">
        <f t="shared" ca="1" si="1"/>
        <v>3804</v>
      </c>
      <c r="H4" s="13">
        <f t="shared" si="2"/>
        <v>63400</v>
      </c>
      <c r="I4" s="13">
        <f t="shared" si="3"/>
        <v>63400</v>
      </c>
      <c r="J4" s="13">
        <f t="shared" si="4"/>
        <v>63300</v>
      </c>
    </row>
    <row r="5" spans="1:10" x14ac:dyDescent="0.25">
      <c r="A5" s="4">
        <v>3004</v>
      </c>
      <c r="B5" s="5" t="s">
        <v>115</v>
      </c>
      <c r="C5" s="5" t="s">
        <v>111</v>
      </c>
      <c r="D5" s="13">
        <v>109972</v>
      </c>
      <c r="E5" s="7">
        <v>42755</v>
      </c>
      <c r="F5" s="14">
        <f t="shared" ca="1" si="0"/>
        <v>9</v>
      </c>
      <c r="G5" s="14">
        <f t="shared" ca="1" si="1"/>
        <v>3554</v>
      </c>
      <c r="H5" s="13">
        <f t="shared" si="2"/>
        <v>110000</v>
      </c>
      <c r="I5" s="13">
        <f t="shared" si="3"/>
        <v>110000</v>
      </c>
      <c r="J5" s="13">
        <f t="shared" si="4"/>
        <v>109900</v>
      </c>
    </row>
    <row r="6" spans="1:10" x14ac:dyDescent="0.25">
      <c r="A6" s="4">
        <v>3005</v>
      </c>
      <c r="B6" s="5" t="s">
        <v>116</v>
      </c>
      <c r="C6" s="5" t="s">
        <v>117</v>
      </c>
      <c r="D6" s="13">
        <v>54149</v>
      </c>
      <c r="E6" s="7">
        <v>43005</v>
      </c>
      <c r="F6" s="14">
        <f t="shared" ca="1" si="0"/>
        <v>9</v>
      </c>
      <c r="G6" s="14">
        <f t="shared" ca="1" si="1"/>
        <v>3304</v>
      </c>
      <c r="H6" s="13">
        <f t="shared" si="2"/>
        <v>54100</v>
      </c>
      <c r="I6" s="13">
        <f t="shared" si="3"/>
        <v>54200</v>
      </c>
      <c r="J6" s="13">
        <f t="shared" si="4"/>
        <v>54100</v>
      </c>
    </row>
    <row r="7" spans="1:10" x14ac:dyDescent="0.25">
      <c r="A7" s="4">
        <v>3006</v>
      </c>
      <c r="B7" s="5" t="s">
        <v>118</v>
      </c>
      <c r="C7" s="5" t="s">
        <v>117</v>
      </c>
      <c r="D7" s="13">
        <v>78689</v>
      </c>
      <c r="E7" s="7">
        <v>43255</v>
      </c>
      <c r="F7" s="14">
        <f t="shared" ca="1" si="0"/>
        <v>8</v>
      </c>
      <c r="G7" s="14">
        <f t="shared" ca="1" si="1"/>
        <v>3054</v>
      </c>
      <c r="H7" s="13">
        <f t="shared" si="2"/>
        <v>78700</v>
      </c>
      <c r="I7" s="13">
        <f t="shared" si="3"/>
        <v>78700</v>
      </c>
      <c r="J7" s="13">
        <f t="shared" si="4"/>
        <v>78600</v>
      </c>
    </row>
    <row r="8" spans="1:10" x14ac:dyDescent="0.25">
      <c r="A8" s="4">
        <v>3007</v>
      </c>
      <c r="B8" s="5" t="s">
        <v>119</v>
      </c>
      <c r="C8" s="5" t="s">
        <v>120</v>
      </c>
      <c r="D8" s="13">
        <v>35960</v>
      </c>
      <c r="E8" s="7">
        <v>43505</v>
      </c>
      <c r="F8" s="14">
        <f t="shared" ca="1" si="0"/>
        <v>7</v>
      </c>
      <c r="G8" s="14">
        <f t="shared" ca="1" si="1"/>
        <v>2804</v>
      </c>
      <c r="H8" s="13">
        <f t="shared" si="2"/>
        <v>36000</v>
      </c>
      <c r="I8" s="13">
        <f t="shared" si="3"/>
        <v>36000</v>
      </c>
      <c r="J8" s="13">
        <f t="shared" si="4"/>
        <v>35900</v>
      </c>
    </row>
    <row r="9" spans="1:10" x14ac:dyDescent="0.25">
      <c r="A9" s="4">
        <v>3008</v>
      </c>
      <c r="B9" s="5" t="s">
        <v>121</v>
      </c>
      <c r="C9" s="5" t="s">
        <v>117</v>
      </c>
      <c r="D9" s="13">
        <v>91659</v>
      </c>
      <c r="E9" s="7">
        <v>43755</v>
      </c>
      <c r="F9" s="14">
        <f t="shared" ca="1" si="0"/>
        <v>6</v>
      </c>
      <c r="G9" s="14">
        <f t="shared" ca="1" si="1"/>
        <v>2554</v>
      </c>
      <c r="H9" s="13">
        <f t="shared" si="2"/>
        <v>91700</v>
      </c>
      <c r="I9" s="13">
        <f t="shared" si="3"/>
        <v>91700</v>
      </c>
      <c r="J9" s="13">
        <f t="shared" si="4"/>
        <v>91600</v>
      </c>
    </row>
    <row r="10" spans="1:10" x14ac:dyDescent="0.25">
      <c r="A10" s="4">
        <v>3009</v>
      </c>
      <c r="B10" s="5" t="s">
        <v>122</v>
      </c>
      <c r="C10" s="5" t="s">
        <v>117</v>
      </c>
      <c r="D10" s="13">
        <v>90423</v>
      </c>
      <c r="E10" s="7">
        <v>44005</v>
      </c>
      <c r="F10" s="14">
        <f t="shared" ca="1" si="0"/>
        <v>6</v>
      </c>
      <c r="G10" s="14">
        <f t="shared" ca="1" si="1"/>
        <v>2304</v>
      </c>
      <c r="H10" s="13">
        <f t="shared" si="2"/>
        <v>90400</v>
      </c>
      <c r="I10" s="13">
        <f t="shared" si="3"/>
        <v>90500</v>
      </c>
      <c r="J10" s="13">
        <f t="shared" si="4"/>
        <v>90400</v>
      </c>
    </row>
    <row r="11" spans="1:10" x14ac:dyDescent="0.25">
      <c r="A11" s="4">
        <v>3010</v>
      </c>
      <c r="B11" s="5" t="s">
        <v>123</v>
      </c>
      <c r="C11" s="5" t="s">
        <v>114</v>
      </c>
      <c r="D11" s="13">
        <v>107877</v>
      </c>
      <c r="E11" s="7">
        <v>44255</v>
      </c>
      <c r="F11" s="14">
        <f t="shared" ca="1" si="0"/>
        <v>5</v>
      </c>
      <c r="G11" s="14">
        <f t="shared" ca="1" si="1"/>
        <v>2054</v>
      </c>
      <c r="H11" s="13">
        <f t="shared" si="2"/>
        <v>107900</v>
      </c>
      <c r="I11" s="13">
        <f t="shared" si="3"/>
        <v>107900</v>
      </c>
      <c r="J11" s="13">
        <f t="shared" si="4"/>
        <v>107800</v>
      </c>
    </row>
    <row r="12" spans="1:10" x14ac:dyDescent="0.25">
      <c r="A12" s="4">
        <v>3011</v>
      </c>
      <c r="B12" s="5" t="s">
        <v>124</v>
      </c>
      <c r="C12" s="5" t="s">
        <v>111</v>
      </c>
      <c r="D12" s="13">
        <v>107634</v>
      </c>
      <c r="E12" s="7">
        <v>44505</v>
      </c>
      <c r="F12" s="14">
        <f t="shared" ca="1" si="0"/>
        <v>4</v>
      </c>
      <c r="G12" s="14">
        <f t="shared" ca="1" si="1"/>
        <v>1804</v>
      </c>
      <c r="H12" s="13">
        <f t="shared" si="2"/>
        <v>107600</v>
      </c>
      <c r="I12" s="13">
        <f t="shared" si="3"/>
        <v>107700</v>
      </c>
      <c r="J12" s="13">
        <f t="shared" si="4"/>
        <v>107600</v>
      </c>
    </row>
    <row r="13" spans="1:10" x14ac:dyDescent="0.25">
      <c r="A13" s="4">
        <v>3012</v>
      </c>
      <c r="B13" s="5" t="s">
        <v>125</v>
      </c>
      <c r="C13" s="5" t="s">
        <v>111</v>
      </c>
      <c r="D13" s="13">
        <v>35226</v>
      </c>
      <c r="E13" s="7">
        <v>44755</v>
      </c>
      <c r="F13" s="14">
        <f t="shared" ca="1" si="0"/>
        <v>4</v>
      </c>
      <c r="G13" s="14">
        <f t="shared" ca="1" si="1"/>
        <v>1554</v>
      </c>
      <c r="H13" s="13">
        <f t="shared" si="2"/>
        <v>35200</v>
      </c>
      <c r="I13" s="13">
        <f t="shared" si="3"/>
        <v>35300</v>
      </c>
      <c r="J13" s="13">
        <f t="shared" si="4"/>
        <v>35200</v>
      </c>
    </row>
    <row r="14" spans="1:10" x14ac:dyDescent="0.25">
      <c r="A14" s="4">
        <v>3013</v>
      </c>
      <c r="B14" s="5" t="s">
        <v>126</v>
      </c>
      <c r="C14" s="5" t="s">
        <v>114</v>
      </c>
      <c r="D14" s="13">
        <v>40872</v>
      </c>
      <c r="E14" s="7">
        <v>45005</v>
      </c>
      <c r="F14" s="14">
        <f t="shared" ca="1" si="0"/>
        <v>3</v>
      </c>
      <c r="G14" s="14">
        <f t="shared" ca="1" si="1"/>
        <v>1304</v>
      </c>
      <c r="H14" s="13">
        <f t="shared" si="2"/>
        <v>40900</v>
      </c>
      <c r="I14" s="13">
        <f t="shared" si="3"/>
        <v>40900</v>
      </c>
      <c r="J14" s="13">
        <f t="shared" si="4"/>
        <v>40800</v>
      </c>
    </row>
    <row r="15" spans="1:10" x14ac:dyDescent="0.25">
      <c r="A15" s="4">
        <v>3014</v>
      </c>
      <c r="B15" s="5" t="s">
        <v>127</v>
      </c>
      <c r="C15" s="5" t="s">
        <v>114</v>
      </c>
      <c r="D15" s="13">
        <v>55378</v>
      </c>
      <c r="E15" s="7">
        <v>45255</v>
      </c>
      <c r="F15" s="14">
        <f t="shared" ca="1" si="0"/>
        <v>2</v>
      </c>
      <c r="G15" s="14">
        <f t="shared" ca="1" si="1"/>
        <v>1054</v>
      </c>
      <c r="H15" s="13">
        <f t="shared" si="2"/>
        <v>55400</v>
      </c>
      <c r="I15" s="13">
        <f t="shared" si="3"/>
        <v>55400</v>
      </c>
      <c r="J15" s="13">
        <f t="shared" si="4"/>
        <v>55300</v>
      </c>
    </row>
    <row r="16" spans="1:10" x14ac:dyDescent="0.25">
      <c r="A16" s="4">
        <v>3015</v>
      </c>
      <c r="B16" s="5" t="s">
        <v>128</v>
      </c>
      <c r="C16" s="5" t="s">
        <v>114</v>
      </c>
      <c r="D16" s="13">
        <v>63297</v>
      </c>
      <c r="E16" s="7">
        <v>45505</v>
      </c>
      <c r="F16" s="14">
        <f t="shared" ca="1" si="0"/>
        <v>2</v>
      </c>
      <c r="G16" s="14">
        <f t="shared" ca="1" si="1"/>
        <v>804</v>
      </c>
      <c r="H16" s="13">
        <f t="shared" si="2"/>
        <v>63300</v>
      </c>
      <c r="I16" s="13">
        <f t="shared" si="3"/>
        <v>63300</v>
      </c>
      <c r="J16" s="13">
        <f t="shared" si="4"/>
        <v>63200</v>
      </c>
    </row>
    <row r="17" spans="1:10" x14ac:dyDescent="0.25">
      <c r="A17" s="4">
        <v>3016</v>
      </c>
      <c r="B17" s="5" t="s">
        <v>129</v>
      </c>
      <c r="C17" s="5" t="s">
        <v>111</v>
      </c>
      <c r="D17" s="13">
        <v>114173</v>
      </c>
      <c r="E17" s="7">
        <v>45755</v>
      </c>
      <c r="F17" s="14">
        <f t="shared" ca="1" si="0"/>
        <v>1</v>
      </c>
      <c r="G17" s="14">
        <f t="shared" ca="1" si="1"/>
        <v>554</v>
      </c>
      <c r="H17" s="13">
        <f t="shared" si="2"/>
        <v>114200</v>
      </c>
      <c r="I17" s="13">
        <f t="shared" si="3"/>
        <v>114200</v>
      </c>
      <c r="J17" s="13">
        <f t="shared" si="4"/>
        <v>114100</v>
      </c>
    </row>
    <row r="18" spans="1:10" x14ac:dyDescent="0.25">
      <c r="A18" s="4">
        <v>3017</v>
      </c>
      <c r="B18" s="5" t="s">
        <v>130</v>
      </c>
      <c r="C18" s="5" t="s">
        <v>114</v>
      </c>
      <c r="D18" s="13">
        <v>86915</v>
      </c>
      <c r="E18" s="7">
        <v>46005</v>
      </c>
      <c r="F18" s="14">
        <f t="shared" ca="1" si="0"/>
        <v>0</v>
      </c>
      <c r="G18" s="14">
        <f t="shared" ca="1" si="1"/>
        <v>304</v>
      </c>
      <c r="H18" s="13">
        <f t="shared" si="2"/>
        <v>86900</v>
      </c>
      <c r="I18" s="13">
        <f t="shared" si="3"/>
        <v>87000</v>
      </c>
      <c r="J18" s="13">
        <f t="shared" si="4"/>
        <v>86900</v>
      </c>
    </row>
    <row r="19" spans="1:10" x14ac:dyDescent="0.25">
      <c r="A19" s="4">
        <v>3018</v>
      </c>
      <c r="B19" s="5" t="s">
        <v>131</v>
      </c>
      <c r="C19" s="5" t="s">
        <v>117</v>
      </c>
      <c r="D19" s="13">
        <v>116284</v>
      </c>
      <c r="E19" s="7">
        <v>46255</v>
      </c>
      <c r="F19" s="14">
        <f t="shared" ca="1" si="0"/>
        <v>0</v>
      </c>
      <c r="G19" s="14">
        <f t="shared" ca="1" si="1"/>
        <v>54</v>
      </c>
      <c r="H19" s="13">
        <f t="shared" si="2"/>
        <v>116300</v>
      </c>
      <c r="I19" s="13">
        <f t="shared" si="3"/>
        <v>116300</v>
      </c>
      <c r="J19" s="13">
        <f t="shared" si="4"/>
        <v>116200</v>
      </c>
    </row>
    <row r="20" spans="1:10" x14ac:dyDescent="0.25">
      <c r="A20" s="4">
        <v>3019</v>
      </c>
      <c r="B20" s="5" t="s">
        <v>132</v>
      </c>
      <c r="C20" s="5" t="s">
        <v>120</v>
      </c>
      <c r="D20" s="13">
        <v>116283</v>
      </c>
      <c r="E20" s="7">
        <v>46505</v>
      </c>
      <c r="F20" s="14" t="e">
        <f t="shared" ca="1" si="0"/>
        <v>#NUM!</v>
      </c>
      <c r="G20" s="14">
        <f t="shared" ca="1" si="1"/>
        <v>-196</v>
      </c>
      <c r="H20" s="13">
        <f t="shared" si="2"/>
        <v>116300</v>
      </c>
      <c r="I20" s="13">
        <f t="shared" si="3"/>
        <v>116300</v>
      </c>
      <c r="J20" s="13">
        <f t="shared" si="4"/>
        <v>116200</v>
      </c>
    </row>
    <row r="21" spans="1:10" x14ac:dyDescent="0.25">
      <c r="A21" s="4">
        <v>3020</v>
      </c>
      <c r="B21" s="5" t="s">
        <v>133</v>
      </c>
      <c r="C21" s="5" t="s">
        <v>120</v>
      </c>
      <c r="D21" s="13">
        <v>99924</v>
      </c>
      <c r="E21" s="7">
        <v>46755</v>
      </c>
      <c r="F21" s="14" t="e">
        <f t="shared" ca="1" si="0"/>
        <v>#NUM!</v>
      </c>
      <c r="G21" s="14">
        <f t="shared" ca="1" si="1"/>
        <v>-446</v>
      </c>
      <c r="H21" s="13">
        <f t="shared" si="2"/>
        <v>99900</v>
      </c>
      <c r="I21" s="13">
        <f t="shared" si="3"/>
        <v>100000</v>
      </c>
      <c r="J21" s="13">
        <f t="shared" si="4"/>
        <v>99900</v>
      </c>
    </row>
    <row r="24" spans="1:10" x14ac:dyDescent="0.25">
      <c r="A24" s="10" t="s">
        <v>134</v>
      </c>
      <c r="B24" s="10"/>
      <c r="C24" s="10"/>
    </row>
    <row r="25" spans="1:10" x14ac:dyDescent="0.25">
      <c r="A25" s="11" t="s">
        <v>47</v>
      </c>
      <c r="B25" s="11" t="s">
        <v>48</v>
      </c>
      <c r="C25" s="11" t="s">
        <v>49</v>
      </c>
    </row>
    <row r="26" spans="1:10" x14ac:dyDescent="0.25">
      <c r="A26" t="s">
        <v>135</v>
      </c>
      <c r="B26" s="15" t="e">
        <f ca="1">XLOOKUP(3005, A2:A21, D2:D21,"Not Found")</f>
        <v>#NAME?</v>
      </c>
      <c r="C26" t="e">
        <f ca="1">XLOOKUP(3005, A2:A21, D2:D21, "Not Found")</f>
        <v>#NAME?</v>
      </c>
    </row>
    <row r="27" spans="1:10" x14ac:dyDescent="0.25">
      <c r="A27" t="s">
        <v>136</v>
      </c>
      <c r="B27">
        <f>INDEX(C2:D21, MATCH(3010, A2:A21, 0), 2)</f>
        <v>107877</v>
      </c>
      <c r="C27">
        <f>INDEX(C2:D21, MATCH(3010, A2:A21, 0), 2)</f>
        <v>107877</v>
      </c>
      <c r="E27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Instructions</vt:lpstr>
      <vt:lpstr>Students Grade</vt:lpstr>
      <vt:lpstr>Sales Data</vt:lpstr>
      <vt:lpstr>Employee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2026-10-08T05:42:05Z</dcterms:created>
  <dcterms:modified xsi:type="dcterms:W3CDTF">2026-10-14T05:23:46Z</dcterms:modified>
</cp:coreProperties>
</file>